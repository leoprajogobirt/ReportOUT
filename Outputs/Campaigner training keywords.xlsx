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ReportOUT\Outputs\"/>
    </mc:Choice>
  </mc:AlternateContent>
  <xr:revisionPtr revIDLastSave="0" documentId="8_{84E2175F-4234-4B20-B63B-CA7C55EC830B}" xr6:coauthVersionLast="47" xr6:coauthVersionMax="47" xr10:uidLastSave="{00000000-0000-0000-0000-000000000000}"/>
  <bookViews>
    <workbookView xWindow="-110" yWindow="-110" windowWidth="19420" windowHeight="10300" xr2:uid="{AC3600BB-16FB-4591-AB21-921BBFAC0A4F}"/>
  </bookViews>
  <sheets>
    <sheet name="Session 1" sheetId="3" r:id="rId1"/>
    <sheet name="Session 2" sheetId="2" r:id="rId2"/>
    <sheet name="Session 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3" i="2"/>
  <c r="B2" i="2"/>
  <c r="B32" i="1"/>
  <c r="B23" i="1"/>
  <c r="B18" i="1"/>
  <c r="B13" i="1"/>
  <c r="B12" i="1"/>
  <c r="B11" i="1"/>
  <c r="B9" i="1"/>
  <c r="B8" i="1"/>
  <c r="B6" i="1"/>
  <c r="B4" i="1"/>
  <c r="B3" i="1"/>
</calcChain>
</file>

<file path=xl/sharedStrings.xml><?xml version="1.0" encoding="utf-8"?>
<sst xmlns="http://schemas.openxmlformats.org/spreadsheetml/2006/main" count="76" uniqueCount="61">
  <si>
    <t>word</t>
  </si>
  <si>
    <t>count</t>
  </si>
  <si>
    <t>understand</t>
  </si>
  <si>
    <t>campaign</t>
  </si>
  <si>
    <t>skill</t>
  </si>
  <si>
    <t>confidence</t>
  </si>
  <si>
    <t>knowledge</t>
  </si>
  <si>
    <t>learn</t>
  </si>
  <si>
    <t>woman</t>
  </si>
  <si>
    <t>community</t>
  </si>
  <si>
    <t>goal</t>
  </si>
  <si>
    <t>change</t>
  </si>
  <si>
    <t>theories</t>
  </si>
  <si>
    <t>amaze</t>
  </si>
  <si>
    <t>equal/equity</t>
  </si>
  <si>
    <t>health</t>
  </si>
  <si>
    <t>sex</t>
  </si>
  <si>
    <t>gender</t>
  </si>
  <si>
    <t>create</t>
  </si>
  <si>
    <t>resourc</t>
  </si>
  <si>
    <t>rural</t>
  </si>
  <si>
    <t>secure</t>
  </si>
  <si>
    <t>access</t>
  </si>
  <si>
    <t>advocacy</t>
  </si>
  <si>
    <t>base</t>
  </si>
  <si>
    <t>engage</t>
  </si>
  <si>
    <t>improve</t>
  </si>
  <si>
    <t>inclusive</t>
  </si>
  <si>
    <t>inform</t>
  </si>
  <si>
    <t>help</t>
  </si>
  <si>
    <t>educate</t>
  </si>
  <si>
    <t>safety</t>
  </si>
  <si>
    <t>activist</t>
  </si>
  <si>
    <t>aware</t>
  </si>
  <si>
    <t>build</t>
  </si>
  <si>
    <t>experience</t>
  </si>
  <si>
    <t>lobby</t>
  </si>
  <si>
    <t>ready</t>
  </si>
  <si>
    <t>transgender</t>
  </si>
  <si>
    <t>allies</t>
  </si>
  <si>
    <t>comprehensive</t>
  </si>
  <si>
    <t>countries</t>
  </si>
  <si>
    <t>develop</t>
  </si>
  <si>
    <t>implement</t>
  </si>
  <si>
    <t>method</t>
  </si>
  <si>
    <t>service</t>
  </si>
  <si>
    <t>support</t>
  </si>
  <si>
    <t>continue</t>
  </si>
  <si>
    <t>medical</t>
  </si>
  <si>
    <t>stigma</t>
  </si>
  <si>
    <t>engaeg</t>
  </si>
  <si>
    <t>enjoy</t>
  </si>
  <si>
    <t>idea</t>
  </si>
  <si>
    <t>inspire</t>
  </si>
  <si>
    <t>knowledg</t>
  </si>
  <si>
    <t>real life</t>
  </si>
  <si>
    <t>range</t>
  </si>
  <si>
    <t>relevant</t>
  </si>
  <si>
    <t>tactic</t>
  </si>
  <si>
    <t>country</t>
  </si>
  <si>
    <t>improv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</si>
</sst>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F0B9-CBCA-4C9D-9C8A-356482EDED0E}">
  <dimension ref="A1:B6"/>
  <sheetViews>
    <sheetView tabSelected="1" workbookViewId="0">
      <selection activeCell="D4" sqref="D4"/>
    </sheetView>
  </sheetViews>
  <sheetFormatPr defaultColWidth="10.90625"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3</v>
      </c>
      <c r="B2">
        <v>3</v>
      </c>
    </row>
    <row r="3" spans="1:2" x14ac:dyDescent="0.35">
      <c r="A3" t="s">
        <v>59</v>
      </c>
      <c r="B3">
        <v>3</v>
      </c>
    </row>
    <row r="4" spans="1:2" x14ac:dyDescent="0.35">
      <c r="A4" t="s">
        <v>51</v>
      </c>
      <c r="B4">
        <v>5</v>
      </c>
    </row>
    <row r="5" spans="1:2" x14ac:dyDescent="0.35">
      <c r="A5" t="s">
        <v>60</v>
      </c>
      <c r="B5">
        <v>2</v>
      </c>
    </row>
    <row r="6" spans="1:2" x14ac:dyDescent="0.35">
      <c r="A6" t="s">
        <v>4</v>
      </c>
      <c r="B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A693-7001-4D6E-A358-7FF662AF59CC}">
  <dimension ref="A1:B18"/>
  <sheetViews>
    <sheetView workbookViewId="0">
      <selection activeCell="B9" sqref="A1:B18"/>
    </sheetView>
  </sheetViews>
  <sheetFormatPr defaultColWidth="10.90625"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3</v>
      </c>
      <c r="B2">
        <f>5+1+9+6+7+1</f>
        <v>29</v>
      </c>
    </row>
    <row r="3" spans="1:2" x14ac:dyDescent="0.35">
      <c r="A3" t="s">
        <v>54</v>
      </c>
      <c r="B3">
        <f>4+1+5+3+2</f>
        <v>15</v>
      </c>
    </row>
    <row r="4" spans="1:2" x14ac:dyDescent="0.35">
      <c r="A4" t="s">
        <v>57</v>
      </c>
      <c r="B4">
        <v>12</v>
      </c>
    </row>
    <row r="5" spans="1:2" x14ac:dyDescent="0.35">
      <c r="A5" t="s">
        <v>5</v>
      </c>
      <c r="B5">
        <v>10</v>
      </c>
    </row>
    <row r="6" spans="1:2" x14ac:dyDescent="0.35">
      <c r="A6" t="s">
        <v>7</v>
      </c>
      <c r="B6">
        <f>2+1+4+1+1</f>
        <v>9</v>
      </c>
    </row>
    <row r="7" spans="1:2" x14ac:dyDescent="0.35">
      <c r="A7" t="s">
        <v>50</v>
      </c>
      <c r="B7">
        <v>8</v>
      </c>
    </row>
    <row r="8" spans="1:2" x14ac:dyDescent="0.35">
      <c r="A8" t="s">
        <v>26</v>
      </c>
      <c r="B8">
        <v>6</v>
      </c>
    </row>
    <row r="9" spans="1:2" x14ac:dyDescent="0.35">
      <c r="A9" t="s">
        <v>28</v>
      </c>
      <c r="B9">
        <v>6</v>
      </c>
    </row>
    <row r="10" spans="1:2" x14ac:dyDescent="0.35">
      <c r="A10" t="s">
        <v>55</v>
      </c>
      <c r="B10">
        <v>6</v>
      </c>
    </row>
    <row r="11" spans="1:2" x14ac:dyDescent="0.35">
      <c r="A11" t="s">
        <v>4</v>
      </c>
      <c r="B11">
        <v>6</v>
      </c>
    </row>
    <row r="12" spans="1:2" x14ac:dyDescent="0.35">
      <c r="A12" t="s">
        <v>56</v>
      </c>
      <c r="B12">
        <v>5</v>
      </c>
    </row>
    <row r="13" spans="1:2" x14ac:dyDescent="0.35">
      <c r="A13" t="s">
        <v>2</v>
      </c>
      <c r="B13">
        <v>5</v>
      </c>
    </row>
    <row r="14" spans="1:2" x14ac:dyDescent="0.35">
      <c r="A14" t="s">
        <v>51</v>
      </c>
      <c r="B14">
        <v>4</v>
      </c>
    </row>
    <row r="15" spans="1:2" x14ac:dyDescent="0.35">
      <c r="A15" t="s">
        <v>53</v>
      </c>
      <c r="B15">
        <v>4</v>
      </c>
    </row>
    <row r="16" spans="1:2" x14ac:dyDescent="0.35">
      <c r="A16" t="s">
        <v>52</v>
      </c>
      <c r="B16">
        <v>3</v>
      </c>
    </row>
    <row r="17" spans="1:2" x14ac:dyDescent="0.35">
      <c r="A17" t="s">
        <v>58</v>
      </c>
      <c r="B17">
        <v>3</v>
      </c>
    </row>
    <row r="18" spans="1:2" x14ac:dyDescent="0.35">
      <c r="A18" t="s">
        <v>58</v>
      </c>
      <c r="B18">
        <v>2</v>
      </c>
    </row>
  </sheetData>
  <sortState xmlns:xlrd2="http://schemas.microsoft.com/office/spreadsheetml/2017/richdata2" ref="A2:B18">
    <sortCondition descending="1" ref="B9:B18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711D-554F-4F8E-87FE-D433B24C41B9}">
  <dimension ref="A1:B49"/>
  <sheetViews>
    <sheetView workbookViewId="0">
      <selection sqref="A1:XFD1"/>
    </sheetView>
  </sheetViews>
  <sheetFormatPr defaultColWidth="10.90625"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99</v>
      </c>
    </row>
    <row r="3" spans="1:2" x14ac:dyDescent="0.35">
      <c r="A3" t="s">
        <v>3</v>
      </c>
      <c r="B3">
        <f>4+8+22+17+14+18+5+2+3+1</f>
        <v>94</v>
      </c>
    </row>
    <row r="4" spans="1:2" x14ac:dyDescent="0.35">
      <c r="A4" t="s">
        <v>4</v>
      </c>
      <c r="B4">
        <f>3+4+11+5+6+2+1</f>
        <v>32</v>
      </c>
    </row>
    <row r="5" spans="1:2" x14ac:dyDescent="0.35">
      <c r="A5" t="s">
        <v>5</v>
      </c>
      <c r="B5">
        <v>21</v>
      </c>
    </row>
    <row r="6" spans="1:2" x14ac:dyDescent="0.35">
      <c r="A6" t="s">
        <v>6</v>
      </c>
      <c r="B6">
        <f>4+2+5+1+6+1+1</f>
        <v>20</v>
      </c>
    </row>
    <row r="7" spans="1:2" x14ac:dyDescent="0.35">
      <c r="A7" t="s">
        <v>7</v>
      </c>
      <c r="B7">
        <v>20</v>
      </c>
    </row>
    <row r="8" spans="1:2" x14ac:dyDescent="0.35">
      <c r="A8" t="s">
        <v>8</v>
      </c>
      <c r="B8">
        <f>3+1+1+4+9+1+1</f>
        <v>20</v>
      </c>
    </row>
    <row r="9" spans="1:2" x14ac:dyDescent="0.35">
      <c r="A9" t="s">
        <v>9</v>
      </c>
      <c r="B9">
        <f>1+2+8+7</f>
        <v>18</v>
      </c>
    </row>
    <row r="10" spans="1:2" x14ac:dyDescent="0.35">
      <c r="A10" t="s">
        <v>10</v>
      </c>
      <c r="B10">
        <v>16</v>
      </c>
    </row>
    <row r="11" spans="1:2" x14ac:dyDescent="0.35">
      <c r="A11" t="s">
        <v>11</v>
      </c>
      <c r="B11">
        <f>1+3+4+2+5</f>
        <v>15</v>
      </c>
    </row>
    <row r="12" spans="1:2" x14ac:dyDescent="0.35">
      <c r="A12" t="s">
        <v>12</v>
      </c>
      <c r="B12">
        <f>1+5+3+6</f>
        <v>15</v>
      </c>
    </row>
    <row r="13" spans="1:2" x14ac:dyDescent="0.35">
      <c r="A13" t="s">
        <v>13</v>
      </c>
      <c r="B13">
        <f>8+3+2+1</f>
        <v>14</v>
      </c>
    </row>
    <row r="14" spans="1:2" x14ac:dyDescent="0.35">
      <c r="A14" t="s">
        <v>14</v>
      </c>
      <c r="B14">
        <v>13</v>
      </c>
    </row>
    <row r="15" spans="1:2" x14ac:dyDescent="0.35">
      <c r="A15" t="s">
        <v>15</v>
      </c>
      <c r="B15">
        <v>13</v>
      </c>
    </row>
    <row r="16" spans="1:2" x14ac:dyDescent="0.35">
      <c r="A16" t="s">
        <v>16</v>
      </c>
      <c r="B16">
        <v>13</v>
      </c>
    </row>
    <row r="17" spans="1:2" x14ac:dyDescent="0.35">
      <c r="A17" t="s">
        <v>17</v>
      </c>
      <c r="B17">
        <v>12</v>
      </c>
    </row>
    <row r="18" spans="1:2" x14ac:dyDescent="0.35">
      <c r="A18" t="s">
        <v>18</v>
      </c>
      <c r="B18">
        <f>2+1+5+2+1</f>
        <v>11</v>
      </c>
    </row>
    <row r="19" spans="1:2" x14ac:dyDescent="0.35">
      <c r="A19" t="s">
        <v>19</v>
      </c>
      <c r="B19">
        <v>11</v>
      </c>
    </row>
    <row r="20" spans="1:2" x14ac:dyDescent="0.35">
      <c r="A20" t="s">
        <v>20</v>
      </c>
      <c r="B20">
        <v>11</v>
      </c>
    </row>
    <row r="21" spans="1:2" x14ac:dyDescent="0.35">
      <c r="A21" t="s">
        <v>21</v>
      </c>
      <c r="B21">
        <v>11</v>
      </c>
    </row>
    <row r="22" spans="1:2" x14ac:dyDescent="0.35">
      <c r="A22" t="s">
        <v>22</v>
      </c>
      <c r="B22">
        <v>10</v>
      </c>
    </row>
    <row r="23" spans="1:2" x14ac:dyDescent="0.35">
      <c r="A23" t="s">
        <v>23</v>
      </c>
      <c r="B23">
        <f>1+3+1+2+3</f>
        <v>10</v>
      </c>
    </row>
    <row r="24" spans="1:2" x14ac:dyDescent="0.35">
      <c r="A24" t="s">
        <v>24</v>
      </c>
      <c r="B24">
        <v>10</v>
      </c>
    </row>
    <row r="25" spans="1:2" x14ac:dyDescent="0.35">
      <c r="A25" t="s">
        <v>25</v>
      </c>
      <c r="B25">
        <v>10</v>
      </c>
    </row>
    <row r="26" spans="1:2" x14ac:dyDescent="0.35">
      <c r="A26" t="s">
        <v>26</v>
      </c>
      <c r="B26">
        <v>10</v>
      </c>
    </row>
    <row r="27" spans="1:2" x14ac:dyDescent="0.35">
      <c r="A27" t="s">
        <v>27</v>
      </c>
      <c r="B27">
        <v>10</v>
      </c>
    </row>
    <row r="28" spans="1:2" x14ac:dyDescent="0.35">
      <c r="A28" t="s">
        <v>28</v>
      </c>
      <c r="B28">
        <v>10</v>
      </c>
    </row>
    <row r="29" spans="1:2" x14ac:dyDescent="0.35">
      <c r="A29" t="s">
        <v>29</v>
      </c>
      <c r="B29">
        <v>9</v>
      </c>
    </row>
    <row r="30" spans="1:2" x14ac:dyDescent="0.35">
      <c r="A30" t="s">
        <v>30</v>
      </c>
      <c r="B30">
        <v>8</v>
      </c>
    </row>
    <row r="31" spans="1:2" x14ac:dyDescent="0.35">
      <c r="A31" t="s">
        <v>31</v>
      </c>
      <c r="B31">
        <v>8</v>
      </c>
    </row>
    <row r="32" spans="1:2" x14ac:dyDescent="0.35">
      <c r="A32" t="s">
        <v>32</v>
      </c>
      <c r="B32">
        <f>1+5+1</f>
        <v>7</v>
      </c>
    </row>
    <row r="33" spans="1:2" x14ac:dyDescent="0.35">
      <c r="A33" t="s">
        <v>33</v>
      </c>
      <c r="B33">
        <v>7</v>
      </c>
    </row>
    <row r="34" spans="1:2" x14ac:dyDescent="0.35">
      <c r="A34" t="s">
        <v>34</v>
      </c>
      <c r="B34">
        <v>7</v>
      </c>
    </row>
    <row r="35" spans="1:2" x14ac:dyDescent="0.35">
      <c r="A35" t="s">
        <v>35</v>
      </c>
      <c r="B35">
        <v>7</v>
      </c>
    </row>
    <row r="36" spans="1:2" x14ac:dyDescent="0.35">
      <c r="A36" t="s">
        <v>36</v>
      </c>
      <c r="B36">
        <v>7</v>
      </c>
    </row>
    <row r="37" spans="1:2" x14ac:dyDescent="0.35">
      <c r="A37" t="s">
        <v>37</v>
      </c>
      <c r="B37">
        <v>7</v>
      </c>
    </row>
    <row r="38" spans="1:2" x14ac:dyDescent="0.35">
      <c r="A38" t="s">
        <v>38</v>
      </c>
      <c r="B38">
        <v>7</v>
      </c>
    </row>
    <row r="39" spans="1:2" x14ac:dyDescent="0.35">
      <c r="A39" t="s">
        <v>39</v>
      </c>
      <c r="B39">
        <v>6</v>
      </c>
    </row>
    <row r="40" spans="1:2" x14ac:dyDescent="0.35">
      <c r="A40" t="s">
        <v>40</v>
      </c>
      <c r="B40">
        <v>6</v>
      </c>
    </row>
    <row r="41" spans="1:2" x14ac:dyDescent="0.35">
      <c r="A41" t="s">
        <v>41</v>
      </c>
      <c r="B41">
        <v>6</v>
      </c>
    </row>
    <row r="42" spans="1:2" x14ac:dyDescent="0.35">
      <c r="A42" t="s">
        <v>42</v>
      </c>
      <c r="B42">
        <v>6</v>
      </c>
    </row>
    <row r="43" spans="1:2" x14ac:dyDescent="0.35">
      <c r="A43" t="s">
        <v>43</v>
      </c>
      <c r="B43">
        <v>6</v>
      </c>
    </row>
    <row r="44" spans="1:2" x14ac:dyDescent="0.35">
      <c r="A44" t="s">
        <v>44</v>
      </c>
      <c r="B44">
        <v>6</v>
      </c>
    </row>
    <row r="45" spans="1:2" x14ac:dyDescent="0.35">
      <c r="A45" t="s">
        <v>45</v>
      </c>
      <c r="B45">
        <v>6</v>
      </c>
    </row>
    <row r="46" spans="1:2" x14ac:dyDescent="0.35">
      <c r="A46" t="s">
        <v>46</v>
      </c>
      <c r="B46">
        <v>6</v>
      </c>
    </row>
    <row r="47" spans="1:2" x14ac:dyDescent="0.35">
      <c r="A47" t="s">
        <v>47</v>
      </c>
      <c r="B47">
        <v>5</v>
      </c>
    </row>
    <row r="48" spans="1:2" x14ac:dyDescent="0.35">
      <c r="A48" t="s">
        <v>48</v>
      </c>
      <c r="B48">
        <v>5</v>
      </c>
    </row>
    <row r="49" spans="1:2" x14ac:dyDescent="0.35">
      <c r="A49" t="s">
        <v>49</v>
      </c>
      <c r="B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1</vt:lpstr>
      <vt:lpstr>Session 2</vt:lpstr>
      <vt:lpstr>Session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David (PGR)</dc:creator>
  <cp:lastModifiedBy>Leo David (PGR)</cp:lastModifiedBy>
  <dcterms:created xsi:type="dcterms:W3CDTF">2026-03-12T14:27:27Z</dcterms:created>
  <dcterms:modified xsi:type="dcterms:W3CDTF">2026-03-12T14:29:50Z</dcterms:modified>
</cp:coreProperties>
</file>